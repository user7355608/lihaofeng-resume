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zhy15\Desktop\"/>
    </mc:Choice>
  </mc:AlternateContent>
  <xr:revisionPtr revIDLastSave="0" documentId="13_ncr:1_{F087879A-C197-4505-B3F7-7D09D1C6C77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G26" i="1"/>
  <c r="F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<sst xmlns="http://schemas.openxmlformats.org/spreadsheetml/2006/main" count="96" uniqueCount="60">
  <si>
    <t>高等教育项目库项目预算明细表</t>
  </si>
  <si>
    <t>单位： 万元</t>
  </si>
  <si>
    <t>子系统</t>
  </si>
  <si>
    <t>设备名称／支出项目</t>
  </si>
  <si>
    <t>型号规格／支出用途概述</t>
  </si>
  <si>
    <t>支出分类</t>
  </si>
  <si>
    <t>单位</t>
  </si>
  <si>
    <t>数量</t>
  </si>
  <si>
    <t>单价</t>
  </si>
  <si>
    <t>总价</t>
  </si>
  <si>
    <t>智能⽆⼈系统研发与检验检测平台</t>
  </si>
  <si>
    <t>卫/惯融合定位模块</t>
  </si>
  <si>
    <t>设备购置</t>
  </si>
  <si>
    <t>台</t>
  </si>
  <si>
    <t>5G定位系统（测试型）-基站底板</t>
  </si>
  <si>
    <t>定制</t>
  </si>
  <si>
    <t>块</t>
  </si>
  <si>
    <t>5G定位系统（测试型）-终端模组</t>
  </si>
  <si>
    <t>微型无⼈机（多旋翼）</t>
  </si>
  <si>
    <t>空地协作系统-小载重无人机</t>
  </si>
  <si>
    <t>空地协作系统-小载重无人车</t>
  </si>
  <si>
    <t>空地协作系统-无人清扫车</t>
  </si>
  <si>
    <t>室内、室外、城市峡谷，无人车部分：
1.工作模式：喷雾、清扫、吸尘、高压水枪、雾炮
2.爬坡能力≤35%，续航能力≥8h
3.水箱容量≥300L，尘箱质量≥260L，清扫宽度1500-2300，高压管长度≥10m
4.CPU≥英特尔12代6核12线程，GPU≥3060
5.深度相机：深度范围：0.3-20m，深度精度：&lt; 1% up to 3m、&lt; 5% up to 15m，检测范围：20m-40m，镜头类型：8元素全玻璃双镜头，具有光学校正的畸变；
6.16线激光雷达：垂直视场角：-16°- +14°，探测距离：150m，测距准度：±3cm，测距精度：±1cm；
7.补盲雷达：数量≥2，激光波长：940nm，水平视场角：0-360°，垂直视场角：0-90°，精度：1.5m，帧率：10Hz；
8.组合定位单元：支持GNSS实时RTK功能，高精度MEMS陀螺、加速度计及多模多频GNSS接收机，航向精度：0.2°，位置精度：单点≤2m（CEP）、RTK≤2cm+1ppm（CEP）；
9.超声波雷达：超声波测距范围：200mm―3500mm，精度:探测距离的0.5%；
10.红外热成像：分辨率：≥640*512,焦距≥15mm,像元间距≤12μm，噪声等效温差（NETD）：≤50mK(@30°C)，测温范围： -20℃-150℃和100℃-550℃，设备接口： 1路RJ45 (100/ 1000M) 以太网口，1路输出报警接口，1路RS485通讯接口；
11.毫米波雷达、IMU传感器；
车辆功能：
1.提供全套可编程开源自动驾驶系统，系统下正常行驶；
2.实现依靠高精地图进行L4自动驾驶功能，并可实现主动循迹、障碍物识别、主动刹车、局部路径规划等功能；
3.具备生成高精地图信息源的程序，可录制点云数据包，并可使用地图制作软件制作高精地图；
4.结合多种定位技术，可在室内/室外实现循迹或依靠高精地图行驶。</t>
  </si>
  <si>
    <t>空地协作系统-大载重无人机</t>
  </si>
  <si>
    <t>空地协作系统-大载重无人车</t>
  </si>
  <si>
    <t>无人机地⾯站系统</t>
  </si>
  <si>
    <t>⽤于任务规划、监控与数据回传
1.支持同时连接并管理3台及以上无人机。
2.提供无人机自动发现和手动连接（通过IP/端口）功能。
3.具备连接状态显示（已连接/断开/连接中）和连接质量指示。
4.支持单个或批量无人机断开连接。
5.显示每架无人机的基本遥测数据：GPS状态（定位精度、卫星数）、姿态（滚转、俯仰、偏航）、速度（地速、空速、垂速）、高度（相对高度、绝对高度）、电量（电压、电流、剩余百分比）、飞行模式、臂锁状态、信号强度、电机状态。
6.显示关键传感器数据：IMU状态、气压计、磁力计等健康状况。
7.基本飞行指令：
8.支持一键解锁/上锁电机。
9.支持一键起飞（指定高度）、一键降落。
10.支持一键返航（RTL）。
11.允许手动切换PX4所有支持的飞行模式。
l2.支持其他定制开发内容。</t>
  </si>
  <si>
    <t>套</t>
  </si>
  <si>
    <t>集群仿真系统</t>
  </si>
  <si>
    <t>提供集群无人装备仿真环境
1.支持无人机发布的LIO/VIO/SLAM位姿估计，在3D视图中显示实时轨迹。
2.支持地图点云或地图网格，在3D地图上实时渲染。
3.支持订阅定位质量、重定位状态等自定义消息，并在界面上显示。
4.支持集群算法发布的检测结果，在地图或视频流上显示检测到的目标。
5.支持集群算法的中心点/任务分配信息。
6.支持规划器发布的实时规划路径，在3D地图上实时显示。
7.支持自定义障碍物信息
8.支持实时可编译规划器状态信息。
9.支持后续集群功能扩展。</t>
  </si>
  <si>
    <t>水上无人系统集群平台</t>
  </si>
  <si>
    <t>用于实现天基、空基、地基无人平台的跨域协同：
尺寸 长120*宽40cm
感知系统 "位置传感器：平面≤1cm+1ppm；高程≤2cm+1ppm
差分结果传输方式： TTL/RS232
冷启动时间： 24s
输出数据波特率： 230400bps/460800bps
更新频率： 5Hz
电压： 直流9V-36V，典型12V
传输方式： 4G/LORA网络"
 姿态传感器：≤0.5°，可测艏向、横倾、纵倾
 摄像头：1080P、防逆光、无畸变
控制系统 英伟达 Jetson 主控 + 底层控制板
 CPU最大频率：2.0GHz
 GPU:Nvidia Ampere architecture 1024 CUDA Cores 32 Tsensor Cores
 算力≥100TOPS（稀疏）
推进系统 尾部推进器*2
 侧向推进器*2
 全驱动形式
供电 24V
最大航速 ≥2.5m/s
续航时间 空载≥3h
净重 约18kg
载重 ≥10kg
PC通信距离 约5km(无遮挡)
手操遥控器 约800m(无遮挡)
自动定速定向功能 具备
路径跟踪控制功能 具备，可设定不少于5个路径点
水面定位功能 具备
数据存储功能 具备
低电压预警功能 具备
岸基显控软件 具备
二次开发 支持</t>
  </si>
  <si>
    <t>艘</t>
  </si>
  <si>
    <t>大载重水面无人系统测试平台</t>
  </si>
  <si>
    <t>用于水上大型设备的实验测试：
尺寸 长150*宽60cm
感知系统 "位置传感器：平面≤1cm+1ppm；高程≤2cm+1ppm
差分结果传输方式： TTL/RS232
冷启动时间： 24s
输出数据波特率： 230400bps/460800bps
更新频率： 5Hz
电压： 直流9V-36V，典型12V
传输方式： 4G/LORA网络"
 姿态传感器：≤0.5°，可测艏向、横倾、纵倾
 摄像头：1080P、防逆光、无畸变
控制系统 英伟达 Jetson 主控 + 底层控制板
 CPU最大频率：2.0GHz
 GPU:Nvidia Ampere architecture 1024 CUDA Cores 32 Tsensor Cores
 算力≥100TOPS（稀疏）
推进系统 尾部推进器*2
 欠驱动形式
供电 24V*2
最大航速 ≥2m/s
续航时间 空载≥3h
净重 28kg
载重 ≥20kg
PC通信距离 约5km(无遮挡)
手操遥控器 约800m(无遮挡)
自动定速定向功能 具备
路径跟踪控制功能 具备，可设定不少于5个路径点
水面定位功能 具备
数据存储功能 具备
低电压预警功能 具备
岸基显控软件 具备
二次开发 支持</t>
  </si>
  <si>
    <t>高清环视传感器</t>
  </si>
  <si>
    <t>高清红外相机</t>
  </si>
  <si>
    <t>激光雷达</t>
  </si>
  <si>
    <t>光学三维动作捕捉系统</t>
  </si>
  <si>
    <t>1.分辨率：≥2048 x1536；
2.帧速：≥210FPS，帧速率最大可达420FPS；
3.快门类型：全局快门；
4.延迟：≤2.5ms，需出具具有CNAS认证资质的第三方检测报告；；
5.视场角：≥60°x48°，需出具具有CNAS认证资质的第三方检测报告；
6.捕捉距离：≥被动光标记点23m，主动光标记点40m，需出具具有CNAS认证资质的第三方检测报告；
7.接口：具有PoE+功能的GigE数据接口；
8.系统精度：表现良好，偏差须≤0.02mm，需出具具有CNAS认证资质的第三方检测报告；
9.满足高速运动刚体捕捉要求，可捕捉边缘运动速度在300km/h以上；
相机通过光生物安全性检测，提供具有CMA及CNAS认证资质的第三方检测报告，检测标准依据GB/T20145-2006或等效国家标准。</t>
  </si>
  <si>
    <t>空地协同异构数据网关</t>
  </si>
  <si>
    <t>构建⾼速内部⽹络
1.千兆电口≥8
2.千兆SFP光口≥2
3.支持PoE
4.PoE供电标准 IEEE 802.3af、IEEE 802.3at
5.支持电源防雷、端口防雷</t>
  </si>
  <si>
    <t>高速数据通信节点</t>
  </si>
  <si>
    <t>实验室测试电源</t>
  </si>
  <si>
    <t>为测试设备提供稳定电源</t>
  </si>
  <si>
    <t>精密测量⼯具</t>
  </si>
  <si>
    <r>
      <rPr>
        <sz val="9"/>
        <rFont val="微软雅黑"/>
        <family val="2"/>
        <charset val="134"/>
      </rPr>
      <t>⽤</t>
    </r>
    <r>
      <rPr>
        <sz val="9"/>
        <rFont val="宋体"/>
        <family val="3"/>
        <charset val="134"/>
      </rPr>
      <t>于设备校准与精度测量</t>
    </r>
  </si>
  <si>
    <t>共计：</t>
  </si>
  <si>
    <t>林地、滩涂、戈壁场景,无人机部分：
1.最大载重≥2450g
2.定位方式：5G定位、卫星定位、激光定位
3.运行时间≥40min
4.最大运行速度 ≥9m/s
5.定位精度 ± 3-5cm
6.运动模式 手动遥控/自主导航
协作支持：
1.自主降落；
2.无人机防撞；
3.空地机器人协同建图；
4.空地实时协同通信；</t>
    <phoneticPr fontId="8" type="noConversion"/>
  </si>
  <si>
    <r>
      <t>提供</t>
    </r>
    <r>
      <rPr>
        <sz val="9"/>
        <color rgb="FF000000"/>
        <rFont val="微软雅黑"/>
        <family val="2"/>
        <charset val="134"/>
      </rPr>
      <t>⽆</t>
    </r>
    <r>
      <rPr>
        <sz val="9"/>
        <color rgb="FF000000"/>
        <rFont val="宋体"/>
        <family val="3"/>
        <charset val="134"/>
      </rPr>
      <t>线</t>
    </r>
    <r>
      <rPr>
        <sz val="9"/>
        <color rgb="FF000000"/>
        <rFont val="微软雅黑"/>
        <family val="2"/>
        <charset val="134"/>
      </rPr>
      <t>⽹</t>
    </r>
    <r>
      <rPr>
        <sz val="9"/>
        <color rgb="FF000000"/>
        <rFont val="宋体"/>
        <family val="3"/>
        <charset val="134"/>
      </rPr>
      <t>络覆盖
1.网络接入：APN、VPDN
2.接入认证：CHAP/PAP/MS-CHAP/MS-CHAPV2
3.LAN协议：ARP、EtherNet
4.多级用户：用户分级管理
5.数据安全：IPSec VPN、OPENVPN、CA（可自动申请）</t>
    </r>
    <phoneticPr fontId="8" type="noConversion"/>
  </si>
  <si>
    <r>
      <rPr>
        <sz val="9"/>
        <rFont val="微软雅黑"/>
        <family val="2"/>
        <charset val="134"/>
      </rPr>
      <t>⽤</t>
    </r>
    <r>
      <rPr>
        <sz val="9"/>
        <rFont val="宋体"/>
        <family val="3"/>
        <charset val="134"/>
      </rPr>
      <t>于</t>
    </r>
    <r>
      <rPr>
        <sz val="9"/>
        <rFont val="微软雅黑"/>
        <family val="2"/>
        <charset val="134"/>
      </rPr>
      <t>⾼</t>
    </r>
    <r>
      <rPr>
        <sz val="9"/>
        <rFont val="宋体"/>
        <family val="3"/>
        <charset val="134"/>
      </rPr>
      <t xml:space="preserve">精度定位数据采集
1.输出协议：NMEA-0183
输出电平：串行通信TTL电平
2.支持Smart Suppress抗干扰技术
M-BEST低功耗技术
3.支持北斗高精度定位
4.支持北斗单星精确授时
5.内置组合导航算法
6.支持B2b-PPP星基增强，快速收敛至厘米级
7.支持BDS-SBAS
</t>
    </r>
    <r>
      <rPr>
        <sz val="9"/>
        <rFont val="微软雅黑"/>
        <family val="2"/>
        <charset val="134"/>
      </rPr>
      <t>⽤</t>
    </r>
    <r>
      <rPr>
        <sz val="9"/>
        <rFont val="宋体"/>
        <family val="3"/>
        <charset val="134"/>
      </rPr>
      <t xml:space="preserve">于姿态、速度、位置信息融合
1.最大工作温度 </t>
    </r>
    <r>
      <rPr>
        <sz val="9"/>
        <rFont val="Cambria Math"/>
        <family val="3"/>
      </rPr>
      <t>≥</t>
    </r>
    <r>
      <rPr>
        <sz val="9"/>
        <rFont val="宋体"/>
        <family val="3"/>
        <charset val="134"/>
      </rPr>
      <t xml:space="preserve">+ 85 C
2.最小工作温度 </t>
    </r>
    <r>
      <rPr>
        <sz val="9"/>
        <rFont val="Cambria Math"/>
        <family val="3"/>
      </rPr>
      <t>≤</t>
    </r>
    <r>
      <rPr>
        <sz val="9"/>
        <rFont val="宋体"/>
        <family val="3"/>
        <charset val="134"/>
      </rPr>
      <t xml:space="preserve"> - 40 C
3.分辨率 16 bit
4.输出类型I2C、SPI</t>
    </r>
    <phoneticPr fontId="8" type="noConversion"/>
  </si>
  <si>
    <r>
      <rPr>
        <sz val="9"/>
        <color rgb="FF000000"/>
        <rFont val="微软雅黑"/>
        <family val="2"/>
        <charset val="134"/>
      </rPr>
      <t>⽤</t>
    </r>
    <r>
      <rPr>
        <sz val="9"/>
        <color rgb="FF000000"/>
        <rFont val="宋体"/>
        <family val="3"/>
        <charset val="134"/>
      </rPr>
      <t>于5G定位测试与验证
1.系统集成基带、射频、播发天线。
2.信号发射中心频点支持433MHz～6GHz定制可调，发射功率支持0dBm～31dBm可调。
3.基站底板之间同步精度优于1ns的高精度时间同步；也可以通过外置GNSS授时方式实现无线同步，无线同步时间精度优于5ns。
4.防护等级IP67。
5.可选配通信模块，提供远程监控、管理功能</t>
    </r>
    <phoneticPr fontId="8" type="noConversion"/>
  </si>
  <si>
    <r>
      <rPr>
        <sz val="9"/>
        <color rgb="FF000000"/>
        <rFont val="微软雅黑"/>
        <family val="2"/>
        <charset val="134"/>
      </rPr>
      <t>⽤</t>
    </r>
    <r>
      <rPr>
        <sz val="9"/>
        <color rgb="FF000000"/>
        <rFont val="宋体"/>
        <family val="3"/>
        <charset val="134"/>
      </rPr>
      <t>于集群协同控制、感知与算法验证
1.MCU：STM32F-405
2.供电：3.7V-4.2V
3.最小飞行时间</t>
    </r>
    <r>
      <rPr>
        <sz val="9"/>
        <color rgb="FF000000"/>
        <rFont val="Cambria Math"/>
        <family val="3"/>
      </rPr>
      <t>≤</t>
    </r>
    <r>
      <rPr>
        <sz val="9"/>
        <color rgb="FF000000"/>
        <rFont val="宋体"/>
        <family val="3"/>
        <charset val="134"/>
      </rPr>
      <t xml:space="preserve">7分钟
4.支持固件、飞控系统及硬件电路全开源，便于二次开发
5.适配5G室内定位系统，可实现多机编队与自主飞行控制
6.支持上/下堆叠式扩展模块
7.无刷电机
</t>
    </r>
    <r>
      <rPr>
        <sz val="9"/>
        <color rgb="FF000000"/>
        <rFont val="微软雅黑"/>
        <family val="2"/>
        <charset val="134"/>
      </rPr>
      <t>⽀</t>
    </r>
    <r>
      <rPr>
        <sz val="9"/>
        <color rgb="FF000000"/>
        <rFont val="宋体"/>
        <family val="3"/>
        <charset val="134"/>
      </rPr>
      <t>持MPC等</t>
    </r>
    <r>
      <rPr>
        <sz val="9"/>
        <color rgb="FF000000"/>
        <rFont val="微软雅黑"/>
        <family val="2"/>
        <charset val="134"/>
      </rPr>
      <t>⾃</t>
    </r>
    <r>
      <rPr>
        <sz val="9"/>
        <color rgb="FF000000"/>
        <rFont val="宋体"/>
        <family val="3"/>
        <charset val="134"/>
      </rPr>
      <t>定义算法烧录
1.工作电压：4.75-5.45V
2.TELEM:3个
3.CAN:2个
4.UART:1个
5.USB：2个
支持轻量化处理机载传感器的多模态数据
1.算力：</t>
    </r>
    <r>
      <rPr>
        <sz val="9"/>
        <color rgb="FF000000"/>
        <rFont val="Cambria Math"/>
        <family val="3"/>
      </rPr>
      <t>≥</t>
    </r>
    <r>
      <rPr>
        <sz val="9"/>
        <color rgb="FF000000"/>
        <rFont val="宋体"/>
        <family val="3"/>
        <charset val="134"/>
      </rPr>
      <t>100TOPS
2.接口：支持多设备连接（CAN、USB、HDMI等）
3.工作温度：-15°C至+60°C
4.开发支持：兼容TensorRT、PyTorch、TensorFlow
支持无人机与地面遥控器通信
1.通讯距离：5-10km
2.通道数：16
3.工作电压：7.2-72V
4.尺寸：76*59*11mm
5.重量：90g
支持手动操作无人机
1.通道数：16
2.工作电压：4.2V
3.重量：1034g
4.尺寸:272*193*94mm
5.电池：20000mA/H
6.续航时间：6*12小时</t>
    </r>
    <phoneticPr fontId="8" type="noConversion"/>
  </si>
  <si>
    <t>用于目标识别、环境感知
1.分辨率≥640×512
2.探测距离≥2000m
3.响应波段：8-14um
4.RGB流分辨率与帧率：≥ 1920×1080@30fps
5.工作温度：-10-50℃ 
6.NETD≤40mk
7.视场角：17.8°×13.4°</t>
    <phoneticPr fontId="8" type="noConversion"/>
  </si>
  <si>
    <r>
      <t>提供</t>
    </r>
    <r>
      <rPr>
        <sz val="9"/>
        <color rgb="FF000000"/>
        <rFont val="微软雅黑"/>
        <family val="2"/>
        <charset val="134"/>
      </rPr>
      <t>⾼</t>
    </r>
    <r>
      <rPr>
        <sz val="9"/>
        <color rgb="FF000000"/>
        <rFont val="宋体"/>
        <family val="3"/>
        <charset val="134"/>
      </rPr>
      <t>精度三维点云数据
1.近处盲区：≤ 0.1m
2.点频：≥ 20万点/秒
3.重量：≤ 300 g
4.视场角（FOV）：水平360°，竖直不小于-5°至50°
5.测距能力：≥70m@80%反射率、≥40m@10%反射
6.工作温度：-20°C至55°C：65*65*60</t>
    </r>
    <phoneticPr fontId="8" type="noConversion"/>
  </si>
  <si>
    <t>⽤于⽬标识别、环境感知
1.深度检测有效范围：≥8m
2.最佳精度范围：≥2m
3.深度流分辨率与帧率：1280×720@30fps
4.RGB流分辨率与帧率：1920×1080@30fps
5.深度视场角：≥86°×57°
6.RGB视场角：≥69°×42°
7.曝光方式：全局快门
8.兼容性：支持Windows/Linux/macOS，兼容ROS/ROS2、Python、C++</t>
    <phoneticPr fontId="8" type="noConversion"/>
  </si>
  <si>
    <t>林地、滩涂、戈壁场景，无人车部分：
1.最大载重≥650Kg
2.定位方式：5G定位、卫星定位、激光定位
3.运行时间≥160 min
4.最大运行里程 ≥ 45Km
5.最大越障高度 ≥ 15cm
6.定位精度± 3-5cm
7.运动模式 手动遥控/自主导航
协作支持：
1.无人车对无人机充电功能；
2.无人机防撞；
3.空地机器人协同建图；
4.空地实时协同通信；</t>
    <phoneticPr fontId="8" type="noConversion"/>
  </si>
  <si>
    <t>室内、管廊、溶洞场景，无人车部分：
1.最大载重≥48Kg
2.定位方式：5G定位、卫星定位、激光定位
3.运行时间≥160 min
4.最大运行速度 ≥4.5m/s
5.定位精度± 3-5cm
6.运动模式 手动遥控/自主导航
协作支持：
1.无人车对无人机充电功能；
2.空地机器人协同建图；
3.空地实时协同通信；</t>
    <phoneticPr fontId="8" type="noConversion"/>
  </si>
  <si>
    <t>室内、管廊、溶洞场景，无人机部分：
1.最大载重≥550g
2.定位方式：5G定位、卫星定位、激光定位
3.运行时间≥12min
4.最大运行速度 ≥4m/s
5.定位精度 ± 3-5cm
6.运动模式：手动遥控/自主导航
协作支持：
1.自主降落；
2.无人机防撞；
3.空地机器人协同建图；
4.空地实时协同通信；</t>
    <phoneticPr fontId="8" type="noConversion"/>
  </si>
  <si>
    <t>⽤于5G定位测试与验证
1.捕获跟踪5G PRS射频信号，输出定位结果。
2.支持低功耗待机，软开关启动。
3.收到开始定位信号后3秒内完成启动，开始捕获信号；收到停止定位信号后，模块进入待机状态，降低功耗。
4.支持蓝牙通信功能、UART外接通信功能，可连接专用智能终端。
5.内置包括气压计、加速度计、陀螺仪等多种传感器，便于现场环境数据采集。
6.支持融合北斗、GPS、GLONASS等卫星定位系统。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</si>
</sst>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</font>
    <font>
      <sz val="9"/>
      <color rgb="FF000000"/>
      <name val="仿宋_GB231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  <font>
      <sz val="9"/>
      <color rgb="FF000000"/>
      <name val="宋体"/>
      <family val="3"/>
      <charset val="134"/>
    </font>
    <font>
      <sz val="9"/>
      <color rgb="FF000000"/>
      <name val="微软雅黑"/>
      <family val="2"/>
      <charset val="134"/>
    </font>
    <font>
      <sz val="9"/>
      <name val="Cambria Math"/>
      <family val="3"/>
    </font>
    <font>
      <sz val="9"/>
      <color rgb="FF000000"/>
      <name val="Cambria Math"/>
      <family val="3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9" fillId="2" borderId="3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right" vertical="center" wrapText="1"/>
    </xf>
    <xf numFmtId="0" fontId="0" fillId="0" borderId="11" xfId="0" applyBorder="1" applyAlignment="1">
      <alignment horizontal="right" vertical="center"/>
    </xf>
    <xf numFmtId="0" fontId="0" fillId="0" borderId="12" xfId="0" applyBorder="1" applyAlignment="1">
      <alignment horizontal="right" vertical="center"/>
    </xf>
    <xf numFmtId="0" fontId="0" fillId="0" borderId="13" xfId="0" applyBorder="1" applyAlignment="1">
      <alignment horizontal="left" vertical="center"/>
    </xf>
    <xf numFmtId="0" fontId="0" fillId="0" borderId="15" xfId="0" applyBorder="1" applyAlignment="1">
      <alignment horizontal="right" vertical="center"/>
    </xf>
    <xf numFmtId="0" fontId="3" fillId="0" borderId="3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20" zoomScale="115" zoomScaleNormal="115" workbookViewId="0">
      <selection activeCell="C5" sqref="C5"/>
    </sheetView>
  </sheetViews>
  <sheetFormatPr defaultColWidth="9" defaultRowHeight="14.25"/>
  <cols>
    <col min="3" max="3" width="80.5" style="1" customWidth="1"/>
  </cols>
  <sheetData>
    <row r="1" spans="1:8" ht="33" customHeight="1">
      <c r="A1" s="17" t="s">
        <v>0</v>
      </c>
      <c r="B1" s="18"/>
      <c r="C1" s="19"/>
      <c r="D1" s="18"/>
      <c r="E1" s="18"/>
      <c r="F1" s="18"/>
      <c r="G1" s="18"/>
      <c r="H1" s="20"/>
    </row>
    <row r="2" spans="1:8">
      <c r="A2" s="21" t="s">
        <v>1</v>
      </c>
      <c r="B2" s="22"/>
      <c r="C2" s="23"/>
      <c r="D2" s="22"/>
      <c r="E2" s="22"/>
      <c r="F2" s="22"/>
      <c r="G2" s="22"/>
      <c r="H2" s="24"/>
    </row>
    <row r="3" spans="1:8">
      <c r="A3" s="29" t="s">
        <v>2</v>
      </c>
      <c r="B3" s="33" t="s">
        <v>3</v>
      </c>
      <c r="C3" s="33" t="s">
        <v>4</v>
      </c>
      <c r="D3" s="29" t="s">
        <v>5</v>
      </c>
      <c r="E3" s="29" t="s">
        <v>6</v>
      </c>
      <c r="F3" s="29" t="s">
        <v>7</v>
      </c>
      <c r="G3" s="29" t="s">
        <v>8</v>
      </c>
      <c r="H3" s="29" t="s">
        <v>9</v>
      </c>
    </row>
    <row r="4" spans="1:8" ht="21" customHeight="1">
      <c r="A4" s="29"/>
      <c r="B4" s="34"/>
      <c r="C4" s="35"/>
      <c r="D4" s="29"/>
      <c r="E4" s="29"/>
      <c r="F4" s="29"/>
      <c r="G4" s="29"/>
      <c r="H4" s="29"/>
    </row>
    <row r="5" spans="1:8" ht="292.5" thickBot="1">
      <c r="A5" s="30" t="s">
        <v>10</v>
      </c>
      <c r="B5" s="2" t="s">
        <v>11</v>
      </c>
      <c r="C5" s="36" t="s">
        <v>50</v>
      </c>
      <c r="D5" s="3" t="s">
        <v>12</v>
      </c>
      <c r="E5" s="3" t="s">
        <v>13</v>
      </c>
      <c r="F5" s="3">
        <v>10</v>
      </c>
      <c r="G5" s="3">
        <v>0.9</v>
      </c>
      <c r="H5" s="3">
        <f t="shared" ref="H5:H25" si="0">F5*G5</f>
        <v>9</v>
      </c>
    </row>
    <row r="6" spans="1:8" ht="82.5" thickBot="1">
      <c r="A6" s="31"/>
      <c r="B6" s="2" t="s">
        <v>14</v>
      </c>
      <c r="C6" s="36" t="s">
        <v>51</v>
      </c>
      <c r="D6" s="3" t="s">
        <v>15</v>
      </c>
      <c r="E6" s="3" t="s">
        <v>16</v>
      </c>
      <c r="F6" s="3">
        <v>4</v>
      </c>
      <c r="G6" s="3">
        <v>10.5</v>
      </c>
      <c r="H6" s="3">
        <f t="shared" si="0"/>
        <v>42</v>
      </c>
    </row>
    <row r="7" spans="1:8" ht="79.5" thickBot="1">
      <c r="A7" s="31"/>
      <c r="B7" s="2" t="s">
        <v>17</v>
      </c>
      <c r="C7" s="36" t="s">
        <v>59</v>
      </c>
      <c r="D7" s="3" t="s">
        <v>15</v>
      </c>
      <c r="E7" s="3" t="s">
        <v>16</v>
      </c>
      <c r="F7" s="3">
        <v>17</v>
      </c>
      <c r="G7" s="3">
        <v>3</v>
      </c>
      <c r="H7" s="3">
        <f t="shared" si="0"/>
        <v>51</v>
      </c>
    </row>
    <row r="8" spans="1:8" ht="409.5">
      <c r="A8" s="31"/>
      <c r="B8" s="2" t="s">
        <v>18</v>
      </c>
      <c r="C8" s="36" t="s">
        <v>52</v>
      </c>
      <c r="D8" s="3" t="s">
        <v>12</v>
      </c>
      <c r="E8" s="3" t="s">
        <v>13</v>
      </c>
      <c r="F8" s="3">
        <v>7</v>
      </c>
      <c r="G8" s="3">
        <v>5</v>
      </c>
      <c r="H8" s="3">
        <f t="shared" si="0"/>
        <v>35</v>
      </c>
    </row>
    <row r="9" spans="1:8" ht="135">
      <c r="A9" s="31"/>
      <c r="B9" s="2" t="s">
        <v>19</v>
      </c>
      <c r="C9" s="36" t="s">
        <v>58</v>
      </c>
      <c r="D9" s="3" t="s">
        <v>15</v>
      </c>
      <c r="E9" s="3" t="s">
        <v>13</v>
      </c>
      <c r="F9" s="3">
        <v>3</v>
      </c>
      <c r="G9" s="3">
        <v>16</v>
      </c>
      <c r="H9" s="3">
        <f t="shared" si="0"/>
        <v>48</v>
      </c>
    </row>
    <row r="10" spans="1:8" ht="123.75">
      <c r="A10" s="31"/>
      <c r="B10" s="2" t="s">
        <v>20</v>
      </c>
      <c r="C10" s="36" t="s">
        <v>57</v>
      </c>
      <c r="D10" s="3" t="s">
        <v>15</v>
      </c>
      <c r="E10" s="3" t="s">
        <v>13</v>
      </c>
      <c r="F10" s="3">
        <v>3</v>
      </c>
      <c r="G10" s="3">
        <v>19</v>
      </c>
      <c r="H10" s="3">
        <f t="shared" si="0"/>
        <v>57</v>
      </c>
    </row>
    <row r="11" spans="1:8" ht="233.25" customHeight="1">
      <c r="A11" s="31"/>
      <c r="B11" s="5" t="s">
        <v>21</v>
      </c>
      <c r="C11" s="6" t="s">
        <v>22</v>
      </c>
      <c r="D11" s="7" t="s">
        <v>15</v>
      </c>
      <c r="E11" s="7" t="s">
        <v>13</v>
      </c>
      <c r="F11" s="7">
        <v>1</v>
      </c>
      <c r="G11" s="7">
        <v>50</v>
      </c>
      <c r="H11" s="7">
        <f t="shared" si="0"/>
        <v>50</v>
      </c>
    </row>
    <row r="12" spans="1:8" ht="135">
      <c r="A12" s="31"/>
      <c r="B12" s="2" t="s">
        <v>23</v>
      </c>
      <c r="C12" s="36" t="s">
        <v>48</v>
      </c>
      <c r="D12" s="3" t="s">
        <v>15</v>
      </c>
      <c r="E12" s="3" t="s">
        <v>13</v>
      </c>
      <c r="F12" s="3">
        <v>2</v>
      </c>
      <c r="G12" s="3">
        <v>16</v>
      </c>
      <c r="H12" s="3">
        <f t="shared" si="0"/>
        <v>32</v>
      </c>
    </row>
    <row r="13" spans="1:8" ht="146.25">
      <c r="A13" s="31"/>
      <c r="B13" s="2" t="s">
        <v>24</v>
      </c>
      <c r="C13" s="36" t="s">
        <v>56</v>
      </c>
      <c r="D13" s="3" t="s">
        <v>15</v>
      </c>
      <c r="E13" s="3" t="s">
        <v>13</v>
      </c>
      <c r="F13" s="3">
        <v>2</v>
      </c>
      <c r="G13" s="3">
        <v>19</v>
      </c>
      <c r="H13" s="3">
        <f t="shared" si="0"/>
        <v>38</v>
      </c>
    </row>
    <row r="14" spans="1:8" ht="202.5" customHeight="1">
      <c r="A14" s="31"/>
      <c r="B14" s="2" t="s">
        <v>25</v>
      </c>
      <c r="C14" s="4" t="s">
        <v>26</v>
      </c>
      <c r="D14" s="3" t="s">
        <v>15</v>
      </c>
      <c r="E14" s="3" t="s">
        <v>27</v>
      </c>
      <c r="F14" s="3">
        <v>1</v>
      </c>
      <c r="G14" s="3">
        <v>18</v>
      </c>
      <c r="H14" s="3">
        <f t="shared" si="0"/>
        <v>18</v>
      </c>
    </row>
    <row r="15" spans="1:8" ht="140.25" customHeight="1">
      <c r="A15" s="31"/>
      <c r="B15" s="2" t="s">
        <v>28</v>
      </c>
      <c r="C15" s="4" t="s">
        <v>29</v>
      </c>
      <c r="D15" s="3" t="s">
        <v>15</v>
      </c>
      <c r="E15" s="3" t="s">
        <v>27</v>
      </c>
      <c r="F15" s="3">
        <v>1</v>
      </c>
      <c r="G15" s="3">
        <v>13.5</v>
      </c>
      <c r="H15" s="3">
        <f t="shared" si="0"/>
        <v>13.5</v>
      </c>
    </row>
    <row r="16" spans="1:8" ht="384.75" customHeight="1">
      <c r="A16" s="31"/>
      <c r="B16" s="5" t="s">
        <v>30</v>
      </c>
      <c r="C16" s="8" t="s">
        <v>31</v>
      </c>
      <c r="D16" s="7" t="s">
        <v>12</v>
      </c>
      <c r="E16" s="7" t="s">
        <v>32</v>
      </c>
      <c r="F16" s="7">
        <v>3</v>
      </c>
      <c r="G16" s="7">
        <v>6.3</v>
      </c>
      <c r="H16" s="7">
        <f t="shared" si="0"/>
        <v>18.899999999999999</v>
      </c>
    </row>
    <row r="17" spans="1:8" ht="375" customHeight="1">
      <c r="A17" s="31"/>
      <c r="B17" s="5" t="s">
        <v>33</v>
      </c>
      <c r="C17" s="9" t="s">
        <v>34</v>
      </c>
      <c r="D17" s="7" t="s">
        <v>12</v>
      </c>
      <c r="E17" s="7" t="s">
        <v>32</v>
      </c>
      <c r="F17" s="7">
        <v>1</v>
      </c>
      <c r="G17" s="7">
        <v>7.5</v>
      </c>
      <c r="H17" s="7">
        <f t="shared" si="0"/>
        <v>7.5</v>
      </c>
    </row>
    <row r="18" spans="1:8" ht="161.25" customHeight="1">
      <c r="A18" s="31"/>
      <c r="B18" s="2" t="s">
        <v>35</v>
      </c>
      <c r="C18" s="36" t="s">
        <v>55</v>
      </c>
      <c r="D18" s="3" t="s">
        <v>12</v>
      </c>
      <c r="E18" s="3" t="s">
        <v>27</v>
      </c>
      <c r="F18" s="3">
        <v>7</v>
      </c>
      <c r="G18" s="3">
        <v>1.4</v>
      </c>
      <c r="H18" s="3">
        <f t="shared" si="0"/>
        <v>9.8000000000000007</v>
      </c>
    </row>
    <row r="19" spans="1:8" ht="150" customHeight="1">
      <c r="A19" s="31"/>
      <c r="B19" s="2" t="s">
        <v>36</v>
      </c>
      <c r="C19" s="36" t="s">
        <v>53</v>
      </c>
      <c r="D19" s="3" t="s">
        <v>12</v>
      </c>
      <c r="E19" s="3" t="s">
        <v>13</v>
      </c>
      <c r="F19" s="3">
        <v>2</v>
      </c>
      <c r="G19" s="3">
        <v>10</v>
      </c>
      <c r="H19" s="3">
        <f t="shared" si="0"/>
        <v>20</v>
      </c>
    </row>
    <row r="20" spans="1:8" ht="139.5" customHeight="1">
      <c r="A20" s="31"/>
      <c r="B20" s="2" t="s">
        <v>37</v>
      </c>
      <c r="C20" s="36" t="s">
        <v>54</v>
      </c>
      <c r="D20" s="3" t="s">
        <v>12</v>
      </c>
      <c r="E20" s="3" t="s">
        <v>13</v>
      </c>
      <c r="F20" s="3">
        <v>7</v>
      </c>
      <c r="G20" s="3">
        <v>1</v>
      </c>
      <c r="H20" s="3">
        <f t="shared" si="0"/>
        <v>7</v>
      </c>
    </row>
    <row r="21" spans="1:8" ht="148.5" customHeight="1">
      <c r="A21" s="31"/>
      <c r="B21" s="2" t="s">
        <v>38</v>
      </c>
      <c r="C21" s="10" t="s">
        <v>39</v>
      </c>
      <c r="D21" s="3" t="s">
        <v>12</v>
      </c>
      <c r="E21" s="3" t="s">
        <v>13</v>
      </c>
      <c r="F21" s="3">
        <v>16</v>
      </c>
      <c r="G21" s="3">
        <v>3</v>
      </c>
      <c r="H21" s="3">
        <f t="shared" si="0"/>
        <v>48</v>
      </c>
    </row>
    <row r="22" spans="1:8" ht="106.5" customHeight="1">
      <c r="A22" s="31"/>
      <c r="B22" s="2" t="s">
        <v>40</v>
      </c>
      <c r="C22" s="4" t="s">
        <v>41</v>
      </c>
      <c r="D22" s="3" t="s">
        <v>12</v>
      </c>
      <c r="E22" s="3" t="s">
        <v>27</v>
      </c>
      <c r="F22" s="3">
        <v>1</v>
      </c>
      <c r="G22" s="3">
        <v>4</v>
      </c>
      <c r="H22" s="3">
        <f t="shared" si="0"/>
        <v>4</v>
      </c>
    </row>
    <row r="23" spans="1:8" ht="111" customHeight="1">
      <c r="A23" s="31"/>
      <c r="B23" s="2" t="s">
        <v>42</v>
      </c>
      <c r="C23" s="16" t="s">
        <v>49</v>
      </c>
      <c r="D23" s="3" t="s">
        <v>12</v>
      </c>
      <c r="E23" s="3" t="s">
        <v>13</v>
      </c>
      <c r="F23" s="3">
        <v>5</v>
      </c>
      <c r="G23" s="3">
        <v>1</v>
      </c>
      <c r="H23" s="3">
        <f t="shared" si="0"/>
        <v>5</v>
      </c>
    </row>
    <row r="24" spans="1:8" ht="30.95" customHeight="1">
      <c r="A24" s="31"/>
      <c r="B24" s="2" t="s">
        <v>43</v>
      </c>
      <c r="C24" s="11" t="s">
        <v>44</v>
      </c>
      <c r="D24" s="3" t="s">
        <v>12</v>
      </c>
      <c r="E24" s="3" t="s">
        <v>13</v>
      </c>
      <c r="F24" s="3">
        <v>2</v>
      </c>
      <c r="G24" s="3">
        <v>0.1</v>
      </c>
      <c r="H24" s="3">
        <f t="shared" si="0"/>
        <v>0.2</v>
      </c>
    </row>
    <row r="25" spans="1:8" ht="30.95" customHeight="1">
      <c r="A25" s="32"/>
      <c r="B25" s="2" t="s">
        <v>45</v>
      </c>
      <c r="C25" s="12" t="s">
        <v>46</v>
      </c>
      <c r="D25" s="3" t="s">
        <v>12</v>
      </c>
      <c r="E25" s="3" t="s">
        <v>27</v>
      </c>
      <c r="F25" s="3">
        <v>1</v>
      </c>
      <c r="G25" s="3">
        <v>1</v>
      </c>
      <c r="H25" s="13">
        <f t="shared" si="0"/>
        <v>1</v>
      </c>
    </row>
    <row r="26" spans="1:8">
      <c r="A26" s="25" t="s">
        <v>47</v>
      </c>
      <c r="B26" s="26"/>
      <c r="C26" s="27"/>
      <c r="D26" s="26"/>
      <c r="E26" s="28"/>
      <c r="F26" s="14">
        <f>SUM(F5:F25)</f>
        <v>96</v>
      </c>
      <c r="G26" s="14">
        <f>SUM(G5:G25)</f>
        <v>206.2</v>
      </c>
      <c r="H26" s="15">
        <f>SUM(H5:H25)</f>
        <v>514.9</v>
      </c>
    </row>
  </sheetData>
  <mergeCells count="12">
    <mergeCell ref="A1:H1"/>
    <mergeCell ref="A2:H2"/>
    <mergeCell ref="A26:E26"/>
    <mergeCell ref="A3:A4"/>
    <mergeCell ref="A5:A25"/>
    <mergeCell ref="B3:B4"/>
    <mergeCell ref="C3:C4"/>
    <mergeCell ref="D3:D4"/>
    <mergeCell ref="E3:E4"/>
    <mergeCell ref="F3:F4"/>
    <mergeCell ref="G3:G4"/>
    <mergeCell ref="H3:H4"/>
  </mergeCells>
  <phoneticPr fontId="8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25"/>
  <sheetData/>
  <phoneticPr fontId="8" type="noConversion"/>
  <pageMargins left="0.75" right="0.75" top="1" bottom="1" header="0.51180555555555596" footer="0.5118055555555559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/>
  <sheetData/>
  <phoneticPr fontId="8" type="noConversion"/>
  <pageMargins left="0.75" right="0.75" top="1" bottom="1" header="0.51180555555555596" footer="0.5118055555555559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YAoo Z</cp:lastModifiedBy>
  <dcterms:created xsi:type="dcterms:W3CDTF">2016-12-02T16:54:00Z</dcterms:created>
  <dcterms:modified xsi:type="dcterms:W3CDTF">2025-07-31T06:37:32Z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2052-7.4.1.8983</vt:lpwstr>
  </property>
  <property fmtid="{D5CDD505-2E9C-101B-9397-08002B2CF9AE}" pid="3" name="ICV">
    <vt:lpwstr>5273C9586C254C7588CB381E7F4CFA71_13</vt:lpwstr>
  </property>
</Properties>
</file>